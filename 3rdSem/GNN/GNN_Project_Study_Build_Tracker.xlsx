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582c3aaa918c4d/Desktop/1.Mtech/3rd Sem Handouts/Graph Neural Networks/GNN Reccomender Project/"/>
    </mc:Choice>
  </mc:AlternateContent>
  <xr:revisionPtr revIDLastSave="0" documentId="11_E2891778886058480F982019023C0F7456D6528A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tudy + Build Plan" sheetId="1" r:id="rId1"/>
    <sheet name="Dashboard &amp; Legend" sheetId="2" r:id="rId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11" i="2" s="1"/>
  <c r="B7" i="2"/>
  <c r="B6" i="2"/>
  <c r="B5" i="2"/>
</calcChain>
</file>

<file path=xl/sharedStrings.xml><?xml version="1.0" encoding="utf-8"?>
<sst xmlns="http://schemas.openxmlformats.org/spreadsheetml/2006/main" count="158" uniqueCount="141">
  <si>
    <t>AIML ZG514 (Graph Neural Networks) — Study-and-Build Tracker</t>
  </si>
  <si>
    <t>One row per course session. Study the session, do the build task, tick it off — coursework and the GNN diversification project become the same activity. Fill the yellow columns (H–J). ★ = core sessions.</t>
  </si>
  <si>
    <t>Session</t>
  </si>
  <si>
    <t>Course Topic</t>
  </si>
  <si>
    <t>Course Reading</t>
  </si>
  <si>
    <t>Project Build Task (that week)</t>
  </si>
  <si>
    <t>Key Paper / Resource</t>
  </si>
  <si>
    <t>Deliverable by end of session</t>
  </si>
  <si>
    <t>Suggested Timing</t>
  </si>
  <si>
    <t>Status</t>
  </si>
  <si>
    <t>Target Date</t>
  </si>
  <si>
    <t>Notes</t>
  </si>
  <si>
    <t>S1</t>
  </si>
  <si>
    <t>Basics of graph theory (handshaking, degree sequence, isomorphism, cut-sets)</t>
  </si>
  <si>
    <t>T3-Ch2 · R2-Ch2</t>
  </si>
  <si>
    <t>Set up the project repo + environment (Python, PyTorch Geometric, NetworkX). Write the project problem statement &amp; scope. Represent a toy graph.</t>
  </si>
  <si>
    <t>PyG 'Introduction by Example' docs</t>
  </si>
  <si>
    <t>Repo scaffolded + one-page problem statement</t>
  </si>
  <si>
    <t>Course start (early Aug)</t>
  </si>
  <si>
    <t>S2</t>
  </si>
  <si>
    <t>Big graph data: degree distribution, power laws, connectivity, network measures</t>
  </si>
  <si>
    <t>T2-Ch2 · T3-Ch2 · R2-Ch2</t>
  </si>
  <si>
    <t>Data pull: AMFI scheme/NAV list + a sample of AMC monthly portfolio disclosures. Build the first fund→stock bipartite graph in NetworkX; compute degree distribution &amp; connected components.</t>
  </si>
  <si>
    <t>AMFI portfolio-disclosure format</t>
  </si>
  <si>
    <t>v0 holdings graph + basic network stats</t>
  </si>
  <si>
    <t>Early term</t>
  </si>
  <si>
    <t>S3</t>
  </si>
  <si>
    <t>Spectral/spatial theory (Laplacian, graph Fourier); heterogeneous &amp; multi-relational graphs</t>
  </si>
  <si>
    <t>T2-Ch2 · T3-Ch2</t>
  </si>
  <si>
    <t>Design the HETEROGENEOUS schema (stock/fund/sector nodes; holds / correlated / overlap edges). Add node features (sector, expense ratio, volatility). Compute return-correlation edges.</t>
  </si>
  <si>
    <t>Design doc §3 (this project)</t>
  </si>
  <si>
    <t>Heterogeneous graph object (PyG HeteroData)</t>
  </si>
  <si>
    <t>Before Mid-Sem</t>
  </si>
  <si>
    <t>S4</t>
  </si>
  <si>
    <t>Representation learning; node &amp; graph embeddings</t>
  </si>
  <si>
    <t>T1-Ch1–2 · T2-Ch3 · T3-Ch4</t>
  </si>
  <si>
    <t>Baseline embeddings: node2vec / DeepWalk (+ t-SNE viz). Set up the masked-holding train/test split. Implement baselines: popularity, item–item co-occurrence, matrix factorization (BPR/ALS).</t>
  </si>
  <si>
    <t>node2vec (Grover &amp; Leskovec, 2016)</t>
  </si>
  <si>
    <t>Baselines + eval split + metrics harness (Recall@K, NDCG@K)</t>
  </si>
  <si>
    <t>S5</t>
  </si>
  <si>
    <t>ML on graphs: GNN framework, attention, GCN — Part 1</t>
  </si>
  <si>
    <t>T1-Ch3,4,6 · T2-Ch5,6 · T3-Ch5,7</t>
  </si>
  <si>
    <t>Implement the first GNN (GCN / GraphSAGE) in PyG on the bipartite graph; produce node embeddings; sanity-check similar-asset retrieval.</t>
  </si>
  <si>
    <t>GraphSAGE (Hamilton et al., 2017)</t>
  </si>
  <si>
    <t>Working GNN embeddings</t>
  </si>
  <si>
    <t>S6</t>
  </si>
  <si>
    <t>ML on graphs: GNN framework, attention, GCN — Part 2</t>
  </si>
  <si>
    <t>Add a GAT (attention) variant; compare against GCN/GraphSAGE embeddings; tune.</t>
  </si>
  <si>
    <t>GAT (Veličković et al., 2018)</t>
  </si>
  <si>
    <t>GAT variant + comparison</t>
  </si>
  <si>
    <t>S7</t>
  </si>
  <si>
    <t>Link Prediction  ★ CORE</t>
  </si>
  <si>
    <t>T1-Ch10</t>
  </si>
  <si>
    <t>★ THE recommender: build link-prediction (LightGCN / SEAL-style); train with BPR; evaluate Recall@K &amp; NDCG@K vs all baselines. This is the heart of the project.</t>
  </si>
  <si>
    <t>Zhang &amp; Chen 'Link Prediction Based on GNN' (SEAL, 2018); LightGCN (He et al., 2020)</t>
  </si>
  <si>
    <t>Working recommender + first results table</t>
  </si>
  <si>
    <t>~Mid-Sem (Sep 20)</t>
  </si>
  <si>
    <t>S8</t>
  </si>
  <si>
    <t>Graph RNN &amp; Algebraic Neural Networks</t>
  </si>
  <si>
    <t>Class notes</t>
  </si>
  <si>
    <t>Refactor into a clean, reusable eval harness; add tests. Note dynamic graph (monthly holdings) as a future extension.</t>
  </si>
  <si>
    <t>—</t>
  </si>
  <si>
    <t>Reusable eval harness + tests</t>
  </si>
  <si>
    <t>After Mid-Sem</t>
  </si>
  <si>
    <t>S9</t>
  </si>
  <si>
    <t>Deep Generative Models — Part 1</t>
  </si>
  <si>
    <t>T1-Ch11 · T2-Ch8 · T3-Ch9</t>
  </si>
  <si>
    <t>Build the DIVERSIFICATION objective (anti-similarity: recommend low-correlation / graph-distant assets); measure correlation/concentration reduction of the suggested set.</t>
  </si>
  <si>
    <t>Design doc §4, task 3</t>
  </si>
  <si>
    <t>Diversification recommender + metric</t>
  </si>
  <si>
    <t>S10</t>
  </si>
  <si>
    <t>Deep Generative Models — Part 2</t>
  </si>
  <si>
    <t>Build the CONCENTRATION X-RAY analytics: trace fund→stock overlap, sector concentration, hidden single-name exposure (pure graph analysis — the safe headline feature).</t>
  </si>
  <si>
    <t>Portfolio X-ray module</t>
  </si>
  <si>
    <t>S11</t>
  </si>
  <si>
    <t>Weisfeiler–Lehman &amp; GNN expressiveness/stability — Part 1</t>
  </si>
  <si>
    <t>T1-Ch5 · T2-Ch7</t>
  </si>
  <si>
    <t>Ablations: which edge types matter (drop correlation / overlap); homogeneous vs heterogeneous graph.</t>
  </si>
  <si>
    <t>Xu et al. 'How Powerful are GNNs?' (GIN, 2019)</t>
  </si>
  <si>
    <t>Ablation table</t>
  </si>
  <si>
    <t>S12</t>
  </si>
  <si>
    <t>Weisfeiler–Lehman &amp; stability — Part 2</t>
  </si>
  <si>
    <t>Write the expressiveness &amp; limitations discussion (paper rigor); finalize the GNN-vs-baselines comparison.</t>
  </si>
  <si>
    <t>Gama et al. 'Stability Properties of GNNs' (2020)</t>
  </si>
  <si>
    <t>Results + limitations section draft</t>
  </si>
  <si>
    <t>S13</t>
  </si>
  <si>
    <t>Applications of graph NN in subgraph mining</t>
  </si>
  <si>
    <t>T1-Ch13,24 · T3-Ch12</t>
  </si>
  <si>
    <t>Optional analytics (motifs/subgraphs in holdings), OR use as a buffer / catch-up week.</t>
  </si>
  <si>
    <t>(buffer / optional)</t>
  </si>
  <si>
    <t>S14</t>
  </si>
  <si>
    <t>Recommendation Systems  ★ CORE</t>
  </si>
  <si>
    <t>T1-Ch19</t>
  </si>
  <si>
    <t>★ Consolidate the recommender to course best-practice; add a heterogeneous variant (R-GCN / HGT); finalize eval tables; draft the paper's Methods + Experiments.</t>
  </si>
  <si>
    <t>Fan et al. 'GNN for Social Recommendation' (WWW'19); Wu et al. GNN-Rec survey</t>
  </si>
  <si>
    <t>Final recommender + paper draft (Methods/Exp)</t>
  </si>
  <si>
    <t>Nov</t>
  </si>
  <si>
    <t>S15</t>
  </si>
  <si>
    <t>Knowledge Graph Embedding &amp; Reasoning</t>
  </si>
  <si>
    <t>T1-Ch24</t>
  </si>
  <si>
    <t>Optional: enrich the graph with KG relations (company→leadership/sector). OR build the thin demo UI (Streamlit: paste holdings → X-ray + explore), disclaimers on.</t>
  </si>
  <si>
    <t>Demo UI (disclaimers) OR KG enrichment</t>
  </si>
  <si>
    <t>S16</t>
  </si>
  <si>
    <t>Community structures + community detection using GNN (+ advanced topics)</t>
  </si>
  <si>
    <t>Theme-exposure clustering (community detection on the asset graph); finalize demo; write paper Intro / Related Work / Conclusion; prep the OSS repo README.</t>
  </si>
  <si>
    <t>Tsitsulin et al. 'Graph Clustering with GNN' (2023)</t>
  </si>
  <si>
    <t>Theme module + full paper draft + OSS README</t>
  </si>
  <si>
    <t>By Comprehensive (Dec 6)</t>
  </si>
  <si>
    <t>Post</t>
  </si>
  <si>
    <t>Wrap-up &amp; external signal</t>
  </si>
  <si>
    <t>External-Signal Playbook</t>
  </si>
  <si>
    <t>Submit to a workshop + post to arXiv; open-source the repo (README + PyPI); prep a talk (PyData / Fifth Elephant).</t>
  </si>
  <si>
    <t>External-Signal Playbook (this project)</t>
  </si>
  <si>
    <t>Preprint submitted + repo public + talk abstract</t>
  </si>
  <si>
    <t>Dec 2026 – Jan 2027</t>
  </si>
  <si>
    <t>Progress Dashboard</t>
  </si>
  <si>
    <t>Count</t>
  </si>
  <si>
    <t>Not started</t>
  </si>
  <si>
    <t>Studying</t>
  </si>
  <si>
    <t>Building</t>
  </si>
  <si>
    <t>Done</t>
  </si>
  <si>
    <t>Blocked</t>
  </si>
  <si>
    <t>Total sessions</t>
  </si>
  <si>
    <t>% complete</t>
  </si>
  <si>
    <t>Legend &amp; Notes</t>
  </si>
  <si>
    <t>HOW TO USE THIS TRACKER:</t>
  </si>
  <si>
    <t xml:space="preserve">  • One row per course session on the 'Study + Build Plan' tab.</t>
  </si>
  <si>
    <t xml:space="preserve">  • Each week: study the session's topic + reading, then do that row's Project Build Task.</t>
  </si>
  <si>
    <t xml:space="preserve">  • Fill the yellow columns: Status (dropdown), Target Date, Notes.</t>
  </si>
  <si>
    <t xml:space="preserve">  • ★ / peach-shaded rows are the CORE sessions — the project stands or falls on these.</t>
  </si>
  <si>
    <t>THE SPINE OF THE PROJECT (do these well):</t>
  </si>
  <si>
    <t xml:space="preserve">  S3  build the heterogeneous graph   ·   S4  baselines + eval split</t>
  </si>
  <si>
    <t xml:space="preserve">  S5–S6  first GNN (GCN/GraphSAGE/GAT)   ·   S7  the recommender (link prediction)</t>
  </si>
  <si>
    <t xml:space="preserve">  S9  diversification objective   ·   S10  concentration X-ray</t>
  </si>
  <si>
    <t xml:space="preserve">  S14  finalize + heterogeneous variant + paper draft   ·   S16  themes + full draft + repo</t>
  </si>
  <si>
    <t>WHAT THE COURSE GIVES YOU vs WHAT YOU ADD:</t>
  </si>
  <si>
    <t xml:space="preserve">  Course: all GNN theory, link prediction, recommendation, community detection, PyTorch/NetworkX.</t>
  </si>
  <si>
    <t xml:space="preserve">  You add (= the paper): finance-domain graph from AMFI/AMC data, the diversification objective,</t>
  </si>
  <si>
    <t xml:space="preserve">  and the masked-holding evaluation. Pick up PyTorch Geometric (PyG) yourself — not in the handout.</t>
  </si>
  <si>
    <t>OUTPUT BY END OF SEMESTER: a working GNN recommender + Portfolio X-ray + a paper draft + an OSS repo</t>
  </si>
  <si>
    <t>— i.e. your deep-ML resume signal AND your preprint, from one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</si>
</sst>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color rgb="FF1F3864"/>
      <name val="Calibri"/>
      <charset val="1"/>
    </font>
    <font>
      <b/>
      <sz val="11"/>
      <color rgb="FF1F386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9" fontId="6" fillId="0" borderId="1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abSelected="1" zoomScaleNormal="100" workbookViewId="0">
      <pane ySplit="4" topLeftCell="A5" activePane="bottomLeft" state="frozen"/>
      <selection pane="bottomLeft" activeCell="E5" sqref="E5"/>
    </sheetView>
  </sheetViews>
  <sheetFormatPr defaultColWidth="8.6640625" defaultRowHeight="14.4" x14ac:dyDescent="0.3"/>
  <cols>
    <col min="1" max="1" width="8" customWidth="1"/>
    <col min="2" max="2" width="34" customWidth="1"/>
    <col min="3" max="3" width="20" customWidth="1"/>
    <col min="4" max="4" width="46" customWidth="1"/>
    <col min="5" max="6" width="30" customWidth="1"/>
    <col min="7" max="7" width="18" customWidth="1"/>
    <col min="8" max="8" width="14" customWidth="1"/>
    <col min="9" max="9" width="13" customWidth="1"/>
    <col min="10" max="10" width="30" customWidth="1"/>
  </cols>
  <sheetData>
    <row r="1" spans="1:10" ht="2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41.4" x14ac:dyDescent="0.3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7"/>
      <c r="I5" s="7"/>
      <c r="J5" s="7"/>
    </row>
    <row r="6" spans="1:10" ht="55.2" x14ac:dyDescent="0.3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7"/>
      <c r="I6" s="7"/>
      <c r="J6" s="7"/>
    </row>
    <row r="7" spans="1:10" ht="55.2" x14ac:dyDescent="0.3">
      <c r="A7" s="8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7"/>
      <c r="I7" s="7"/>
      <c r="J7" s="7"/>
    </row>
    <row r="8" spans="1:10" ht="55.2" x14ac:dyDescent="0.3">
      <c r="A8" s="8" t="s">
        <v>33</v>
      </c>
      <c r="B8" s="9" t="s">
        <v>34</v>
      </c>
      <c r="C8" s="9" t="s">
        <v>35</v>
      </c>
      <c r="D8" s="9" t="s">
        <v>36</v>
      </c>
      <c r="E8" s="9" t="s">
        <v>37</v>
      </c>
      <c r="F8" s="9" t="s">
        <v>38</v>
      </c>
      <c r="G8" s="9" t="s">
        <v>32</v>
      </c>
      <c r="H8" s="7"/>
      <c r="I8" s="7"/>
      <c r="J8" s="7"/>
    </row>
    <row r="9" spans="1:10" ht="41.4" x14ac:dyDescent="0.3">
      <c r="A9" s="8" t="s">
        <v>39</v>
      </c>
      <c r="B9" s="9" t="s">
        <v>40</v>
      </c>
      <c r="C9" s="9" t="s">
        <v>41</v>
      </c>
      <c r="D9" s="9" t="s">
        <v>42</v>
      </c>
      <c r="E9" s="9" t="s">
        <v>43</v>
      </c>
      <c r="F9" s="9" t="s">
        <v>44</v>
      </c>
      <c r="G9" s="9" t="s">
        <v>32</v>
      </c>
      <c r="H9" s="7"/>
      <c r="I9" s="7"/>
      <c r="J9" s="7"/>
    </row>
    <row r="10" spans="1:10" ht="27.6" x14ac:dyDescent="0.3">
      <c r="A10" s="5" t="s">
        <v>45</v>
      </c>
      <c r="B10" s="6" t="s">
        <v>46</v>
      </c>
      <c r="C10" s="6" t="s">
        <v>41</v>
      </c>
      <c r="D10" s="6" t="s">
        <v>47</v>
      </c>
      <c r="E10" s="6" t="s">
        <v>48</v>
      </c>
      <c r="F10" s="6" t="s">
        <v>49</v>
      </c>
      <c r="G10" s="6" t="s">
        <v>32</v>
      </c>
      <c r="H10" s="7"/>
      <c r="I10" s="7"/>
      <c r="J10" s="7"/>
    </row>
    <row r="11" spans="1:10" ht="41.4" x14ac:dyDescent="0.3">
      <c r="A11" s="8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9" t="s">
        <v>55</v>
      </c>
      <c r="G11" s="9" t="s">
        <v>56</v>
      </c>
      <c r="H11" s="7"/>
      <c r="I11" s="7"/>
      <c r="J11" s="7"/>
    </row>
    <row r="12" spans="1:10" ht="41.4" x14ac:dyDescent="0.3">
      <c r="A12" s="5" t="s">
        <v>57</v>
      </c>
      <c r="B12" s="6" t="s">
        <v>58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63</v>
      </c>
      <c r="H12" s="7"/>
      <c r="I12" s="7"/>
      <c r="J12" s="7"/>
    </row>
    <row r="13" spans="1:10" ht="55.2" x14ac:dyDescent="0.3">
      <c r="A13" s="8" t="s">
        <v>64</v>
      </c>
      <c r="B13" s="9" t="s">
        <v>65</v>
      </c>
      <c r="C13" s="9" t="s">
        <v>66</v>
      </c>
      <c r="D13" s="9" t="s">
        <v>67</v>
      </c>
      <c r="E13" s="9" t="s">
        <v>68</v>
      </c>
      <c r="F13" s="9" t="s">
        <v>69</v>
      </c>
      <c r="G13" s="9" t="s">
        <v>63</v>
      </c>
      <c r="H13" s="7"/>
      <c r="I13" s="7"/>
      <c r="J13" s="7"/>
    </row>
    <row r="14" spans="1:10" ht="55.2" x14ac:dyDescent="0.3">
      <c r="A14" s="8" t="s">
        <v>70</v>
      </c>
      <c r="B14" s="9" t="s">
        <v>71</v>
      </c>
      <c r="C14" s="9" t="s">
        <v>66</v>
      </c>
      <c r="D14" s="9" t="s">
        <v>72</v>
      </c>
      <c r="E14" s="9" t="s">
        <v>61</v>
      </c>
      <c r="F14" s="9" t="s">
        <v>73</v>
      </c>
      <c r="G14" s="9" t="s">
        <v>63</v>
      </c>
      <c r="H14" s="7"/>
      <c r="I14" s="7"/>
      <c r="J14" s="7"/>
    </row>
    <row r="15" spans="1:10" ht="27.6" x14ac:dyDescent="0.3">
      <c r="A15" s="5" t="s">
        <v>74</v>
      </c>
      <c r="B15" s="6" t="s">
        <v>75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63</v>
      </c>
      <c r="H15" s="7"/>
      <c r="I15" s="7"/>
      <c r="J15" s="7"/>
    </row>
    <row r="16" spans="1:10" ht="27.6" x14ac:dyDescent="0.3">
      <c r="A16" s="5" t="s">
        <v>80</v>
      </c>
      <c r="B16" s="6" t="s">
        <v>81</v>
      </c>
      <c r="C16" s="6" t="s">
        <v>76</v>
      </c>
      <c r="D16" s="6" t="s">
        <v>82</v>
      </c>
      <c r="E16" s="6" t="s">
        <v>83</v>
      </c>
      <c r="F16" s="6" t="s">
        <v>84</v>
      </c>
      <c r="G16" s="6" t="s">
        <v>63</v>
      </c>
      <c r="H16" s="7"/>
      <c r="I16" s="7"/>
      <c r="J16" s="7"/>
    </row>
    <row r="17" spans="1:10" ht="27.6" x14ac:dyDescent="0.3">
      <c r="A17" s="5" t="s">
        <v>85</v>
      </c>
      <c r="B17" s="6" t="s">
        <v>86</v>
      </c>
      <c r="C17" s="6" t="s">
        <v>87</v>
      </c>
      <c r="D17" s="6" t="s">
        <v>88</v>
      </c>
      <c r="E17" s="6" t="s">
        <v>61</v>
      </c>
      <c r="F17" s="6" t="s">
        <v>89</v>
      </c>
      <c r="G17" s="6" t="s">
        <v>63</v>
      </c>
      <c r="H17" s="7"/>
      <c r="I17" s="7"/>
      <c r="J17" s="7"/>
    </row>
    <row r="18" spans="1:10" ht="55.2" x14ac:dyDescent="0.3">
      <c r="A18" s="8" t="s">
        <v>90</v>
      </c>
      <c r="B18" s="9" t="s">
        <v>91</v>
      </c>
      <c r="C18" s="9" t="s">
        <v>92</v>
      </c>
      <c r="D18" s="9" t="s">
        <v>93</v>
      </c>
      <c r="E18" s="9" t="s">
        <v>94</v>
      </c>
      <c r="F18" s="9" t="s">
        <v>95</v>
      </c>
      <c r="G18" s="9" t="s">
        <v>96</v>
      </c>
      <c r="H18" s="7"/>
      <c r="I18" s="7"/>
      <c r="J18" s="7"/>
    </row>
    <row r="19" spans="1:10" ht="55.2" x14ac:dyDescent="0.3">
      <c r="A19" s="5" t="s">
        <v>97</v>
      </c>
      <c r="B19" s="6" t="s">
        <v>98</v>
      </c>
      <c r="C19" s="6" t="s">
        <v>99</v>
      </c>
      <c r="D19" s="6" t="s">
        <v>100</v>
      </c>
      <c r="E19" s="6" t="s">
        <v>61</v>
      </c>
      <c r="F19" s="6" t="s">
        <v>101</v>
      </c>
      <c r="G19" s="6" t="s">
        <v>96</v>
      </c>
      <c r="H19" s="7"/>
      <c r="I19" s="7"/>
      <c r="J19" s="7"/>
    </row>
    <row r="20" spans="1:10" ht="41.4" x14ac:dyDescent="0.3">
      <c r="A20" s="8" t="s">
        <v>102</v>
      </c>
      <c r="B20" s="9" t="s">
        <v>103</v>
      </c>
      <c r="C20" s="9" t="s">
        <v>59</v>
      </c>
      <c r="D20" s="9" t="s">
        <v>104</v>
      </c>
      <c r="E20" s="9" t="s">
        <v>105</v>
      </c>
      <c r="F20" s="9" t="s">
        <v>106</v>
      </c>
      <c r="G20" s="9" t="s">
        <v>107</v>
      </c>
      <c r="H20" s="7"/>
      <c r="I20" s="7"/>
      <c r="J20" s="7"/>
    </row>
    <row r="21" spans="1:10" ht="41.4" x14ac:dyDescent="0.3">
      <c r="A21" s="5" t="s">
        <v>108</v>
      </c>
      <c r="B21" s="6" t="s">
        <v>109</v>
      </c>
      <c r="C21" s="6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7"/>
      <c r="I21" s="7"/>
      <c r="J21" s="7"/>
    </row>
  </sheetData>
  <mergeCells count="2">
    <mergeCell ref="A1:J1"/>
    <mergeCell ref="A2:J2"/>
  </mergeCells>
  <dataValidations count="1">
    <dataValidation type="list" allowBlank="1" sqref="H5:H21" xr:uid="{00000000-0002-0000-0000-000000000000}">
      <formula1>"Not started,Studying,Building,Done,Blocked"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0" customWidth="1"/>
  </cols>
  <sheetData>
    <row r="1" spans="1:3" ht="21" x14ac:dyDescent="0.4">
      <c r="A1" s="2" t="s">
        <v>115</v>
      </c>
      <c r="B1" s="2"/>
      <c r="C1" s="2"/>
    </row>
    <row r="4" spans="1:3" x14ac:dyDescent="0.3">
      <c r="A4" s="10" t="s">
        <v>9</v>
      </c>
      <c r="B4" s="10" t="s">
        <v>116</v>
      </c>
    </row>
    <row r="5" spans="1:3" x14ac:dyDescent="0.3">
      <c r="A5" s="11" t="s">
        <v>117</v>
      </c>
      <c r="B5" s="12">
        <f>COUNTIF('Study + Build Plan'!$H$5:$H$21,A5)</f>
        <v>0</v>
      </c>
    </row>
    <row r="6" spans="1:3" x14ac:dyDescent="0.3">
      <c r="A6" s="11" t="s">
        <v>118</v>
      </c>
      <c r="B6" s="12">
        <f>COUNTIF('Study + Build Plan'!$H$5:$H$21,A6)</f>
        <v>0</v>
      </c>
    </row>
    <row r="7" spans="1:3" x14ac:dyDescent="0.3">
      <c r="A7" s="11" t="s">
        <v>119</v>
      </c>
      <c r="B7" s="12">
        <f>COUNTIF('Study + Build Plan'!$H$5:$H$21,A7)</f>
        <v>0</v>
      </c>
    </row>
    <row r="8" spans="1:3" x14ac:dyDescent="0.3">
      <c r="A8" s="11" t="s">
        <v>120</v>
      </c>
      <c r="B8" s="12">
        <f>COUNTIF('Study + Build Plan'!$H$5:$H$21,A8)</f>
        <v>0</v>
      </c>
    </row>
    <row r="9" spans="1:3" x14ac:dyDescent="0.3">
      <c r="A9" s="11" t="s">
        <v>121</v>
      </c>
      <c r="B9" s="12">
        <f>COUNTIF('Study + Build Plan'!$H$5:$H$21,A9)</f>
        <v>0</v>
      </c>
    </row>
    <row r="10" spans="1:3" x14ac:dyDescent="0.3">
      <c r="A10" s="13" t="s">
        <v>122</v>
      </c>
      <c r="B10" s="14">
        <f>COUNTA('Study + Build Plan'!$A$5:$A$21)</f>
        <v>17</v>
      </c>
    </row>
    <row r="11" spans="1:3" x14ac:dyDescent="0.3">
      <c r="A11" s="15" t="s">
        <v>123</v>
      </c>
      <c r="B11" s="16">
        <f>IFERROR(B8/B10,0)</f>
        <v>0</v>
      </c>
    </row>
    <row r="13" spans="1:3" ht="21" x14ac:dyDescent="0.4">
      <c r="A13" s="3" t="s">
        <v>124</v>
      </c>
    </row>
    <row r="14" spans="1:3" x14ac:dyDescent="0.3">
      <c r="A14" s="17"/>
    </row>
    <row r="15" spans="1:3" x14ac:dyDescent="0.3">
      <c r="A15" s="18" t="s">
        <v>125</v>
      </c>
    </row>
    <row r="16" spans="1:3" x14ac:dyDescent="0.3">
      <c r="A16" s="17" t="s">
        <v>126</v>
      </c>
    </row>
    <row r="17" spans="1:1" x14ac:dyDescent="0.3">
      <c r="A17" s="17" t="s">
        <v>127</v>
      </c>
    </row>
    <row r="18" spans="1:1" x14ac:dyDescent="0.3">
      <c r="A18" s="17" t="s">
        <v>128</v>
      </c>
    </row>
    <row r="19" spans="1:1" x14ac:dyDescent="0.3">
      <c r="A19" s="17" t="s">
        <v>129</v>
      </c>
    </row>
    <row r="20" spans="1:1" x14ac:dyDescent="0.3">
      <c r="A20" s="17"/>
    </row>
    <row r="21" spans="1:1" x14ac:dyDescent="0.3">
      <c r="A21" s="18" t="s">
        <v>130</v>
      </c>
    </row>
    <row r="22" spans="1:1" x14ac:dyDescent="0.3">
      <c r="A22" s="17" t="s">
        <v>131</v>
      </c>
    </row>
    <row r="23" spans="1:1" x14ac:dyDescent="0.3">
      <c r="A23" s="17" t="s">
        <v>132</v>
      </c>
    </row>
    <row r="24" spans="1:1" x14ac:dyDescent="0.3">
      <c r="A24" s="17" t="s">
        <v>133</v>
      </c>
    </row>
    <row r="25" spans="1:1" x14ac:dyDescent="0.3">
      <c r="A25" s="17" t="s">
        <v>134</v>
      </c>
    </row>
    <row r="26" spans="1:1" x14ac:dyDescent="0.3">
      <c r="A26" s="17"/>
    </row>
    <row r="27" spans="1:1" x14ac:dyDescent="0.3">
      <c r="A27" s="18" t="s">
        <v>135</v>
      </c>
    </row>
    <row r="28" spans="1:1" x14ac:dyDescent="0.3">
      <c r="A28" s="17" t="s">
        <v>136</v>
      </c>
    </row>
    <row r="29" spans="1:1" x14ac:dyDescent="0.3">
      <c r="A29" s="17" t="s">
        <v>137</v>
      </c>
    </row>
    <row r="30" spans="1:1" x14ac:dyDescent="0.3">
      <c r="A30" s="17" t="s">
        <v>138</v>
      </c>
    </row>
    <row r="31" spans="1:1" x14ac:dyDescent="0.3">
      <c r="A31" s="17"/>
    </row>
    <row r="32" spans="1:1" x14ac:dyDescent="0.3">
      <c r="A32" s="17" t="s">
        <v>139</v>
      </c>
    </row>
    <row r="33" spans="1:1" x14ac:dyDescent="0.3">
      <c r="A33" s="17" t="s">
        <v>140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+ Build Plan</vt:lpstr>
      <vt:lpstr>Dashboard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ANUPRIYA RAMACHANDRAN</cp:lastModifiedBy>
  <cp:revision>0</cp:revision>
  <dcterms:created xsi:type="dcterms:W3CDTF">2026-07-18T10:35:22Z</dcterms:created>
  <dcterms:modified xsi:type="dcterms:W3CDTF">2026-07-19T14:42:37Z</dcterms:modified>
  <dc:language>en-US</dc:language>
</cp:coreProperties>
</file>